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Okto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workbookViewId="0"/>
  </sheetViews>
  <cols>
    <col min="1" max="1" width="22.83203125" customWidth="1"/>
    <col min="2" max="2" width="20.83203125" customWidth="1"/>
    <col min="3" max="3" width="16.83203125" customWidth="1"/>
    <col min="4" max="4" width="6.83203125" customWidth="1"/>
    <col min="5" max="5" width="7.83203125" customWidth="1"/>
    <col min="6" max="6" width="10.83203125" customWidth="1"/>
    <col min="7" max="7" width="14.83203125" customWidth="1"/>
    <col min="8" max="8" width="18.83203125" customWidth="1"/>
    <col min="9" max="9" width="22.83203125" customWidth="1"/>
    <col min="10" max="10" width="6.83203125" customWidth="1"/>
    <col min="11" max="11" width="12.83203125" customWidth="1"/>
    <col min="12" max="12" width="14.83203125" customWidth="1"/>
    <col min="13" max="13" width="14.83203125" customWidth="1"/>
    <col min="14" max="14" width="16.83203125" customWidth="1"/>
    <col min="15" max="15" width="20.83203125" customWidth="1"/>
    <col min="16" max="16" width="16.83203125" customWidth="1"/>
    <col min="17" max="17" width="16.83203125" customWidth="1"/>
    <col min="18" max="18" width="20.83203125" customWidth="1"/>
  </cols>
  <sheetData>
    <row r="1">
      <c r="A1" t="str">
        <v>LAPORAN TIKET MASUK SPEC CAMP</v>
      </c>
    </row>
    <row r="2">
      <c r="A2" t="str">
        <v>Periode: Oktober 2026</v>
      </c>
    </row>
    <row r="3">
      <c r="A3" t="str">
        <v>Dicetak: 20 Oktober 2026</v>
      </c>
    </row>
    <row r="5">
      <c r="A5" t="str">
        <v>Tanggal</v>
      </c>
      <c r="B5" t="str">
        <v>Nama</v>
      </c>
      <c r="C5" t="str">
        <v>Paket</v>
      </c>
      <c r="D5" t="str">
        <v>Pax</v>
      </c>
      <c r="E5" t="str">
        <v>Gratis</v>
      </c>
      <c r="F5" t="str">
        <v>Status</v>
      </c>
      <c r="G5" t="str">
        <v>Total</v>
      </c>
      <c r="H5" t="str">
        <v>Item Type</v>
      </c>
      <c r="I5" t="str">
        <v>Nama Item</v>
      </c>
      <c r="J5" t="str">
        <v>Qty</v>
      </c>
      <c r="K5" t="str">
        <v>Harga/Unit</v>
      </c>
      <c r="L5" t="str">
        <v>Subtotal</v>
      </c>
      <c r="M5" t="str">
        <v>Porsi Mimount</v>
      </c>
      <c r="N5" t="str">
        <v>Porsi Spec Camp</v>
      </c>
      <c r="O5" t="str">
        <v>Keterangan</v>
      </c>
      <c r="P5" t="str">
        <v>Metode DP</v>
      </c>
      <c r="Q5" t="str">
        <v>Tgl DP</v>
      </c>
      <c r="R5" t="str">
        <v>Bukti DP</v>
      </c>
      <c r="S5" t="str">
        <v>Metode Pelunasan</v>
      </c>
      <c r="T5" t="str">
        <v>Tgl Pelunasan</v>
      </c>
      <c r="U5" t="str">
        <v>Bukti Pelunasan</v>
      </c>
    </row>
    <row r="6">
      <c r="A6" t="str">
        <v>2026-10-17</v>
      </c>
      <c r="B6" t="str">
        <v>Aep</v>
      </c>
      <c r="C6" t="str">
        <v>Camping (Tiket Masuk)</v>
      </c>
      <c r="D6">
        <v>4</v>
      </c>
      <c r="E6">
        <v>0</v>
      </c>
      <c r="F6" t="str">
        <v>completed</v>
      </c>
      <c r="G6">
        <v>150000</v>
      </c>
      <c r="H6" t="str">
        <v>Tiket Masuk</v>
      </c>
      <c r="I6" t="str">
        <v>Camping (Tiket Masuk)</v>
      </c>
      <c r="J6">
        <v>4</v>
      </c>
      <c r="K6" t="str">
        <v/>
      </c>
      <c r="L6">
        <v>140000</v>
      </c>
      <c r="M6">
        <v>40000</v>
      </c>
      <c r="N6">
        <v>100000</v>
      </c>
      <c r="O6" t="str">
        <v>Porsi tiket masuk</v>
      </c>
      <c r="P6" t="str">
        <v>18/10/2026</v>
      </c>
      <c r="Q6" t="str">
        <v>Lama</v>
      </c>
      <c r="R6" t="str">
        <v>qris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Layanan (spec_camp)</v>
      </c>
      <c r="I7" t="str">
        <v>Parkir Motor</v>
      </c>
      <c r="J7">
        <v>2</v>
      </c>
      <c r="K7">
        <v>5000</v>
      </c>
      <c r="L7">
        <f>J7*K7</f>
      </c>
      <c r="M7">
        <v>0</v>
      </c>
      <c r="N7">
        <f>L7</f>
      </c>
      <c r="O7" t="str">
        <v>Spec Camp</v>
      </c>
      <c r="P7" t="str">
        <v/>
      </c>
      <c r="Q7" t="str">
        <v/>
      </c>
      <c r="R7" t="str">
        <v/>
      </c>
    </row>
    <row r="8" xml:space="preserve">
      <c r="A8" t="str">
        <v>2026-09-30</v>
      </c>
      <c r="B8" t="str">
        <v>SMA PGRI CICURUG</v>
      </c>
      <c r="C8" t="str">
        <v>Camping (Tiket Masuk)</v>
      </c>
      <c r="D8">
        <v>37</v>
      </c>
      <c r="E8">
        <v>0</v>
      </c>
      <c r="F8" t="str">
        <v>completed</v>
      </c>
      <c r="G8">
        <v>2155000</v>
      </c>
      <c r="H8" t="str">
        <v>Tiket Masuk</v>
      </c>
      <c r="I8" t="str">
        <v>Camping (Tiket Masuk)</v>
      </c>
      <c r="J8">
        <v>37</v>
      </c>
      <c r="K8" t="str">
        <v/>
      </c>
      <c r="L8">
        <v>1295000</v>
      </c>
      <c r="M8">
        <v>370000</v>
      </c>
      <c r="N8">
        <v>925000</v>
      </c>
      <c r="O8" t="str">
        <v>Porsi tiket masuk</v>
      </c>
      <c r="P8" t="str">
        <v>18/10/2026</v>
      </c>
      <c r="Q8" t="str">
        <v>Pelunasan</v>
      </c>
      <c r="R8" t="str">
        <v>qris</v>
      </c>
      <c r="S8" t="str" xml:space="preserve">
        <v xml:space="preserve">function wrap() {
    return fn.apply(thisArg, arguments);
  }https://api.speccamp.site/uploads/payments/pay-1792429737900-950298941.jpeg</v>
      </c>
      <c r="T8" t="str">
        <v>8/9/2026</v>
      </c>
      <c r="U8" t="str">
        <v>transfer</v>
      </c>
      <c r="V8" t="str" xml:space="preserve">
        <v xml:space="preserve">function wrap() {
    return fn.apply(thisArg, arguments);
  }https://api.speccamp.site/uploads/payments/pay-1792429701938-92926527.jpeg</v>
      </c>
      <c r="W8" t="str">
        <v>18/10/2026</v>
      </c>
      <c r="X8" t="str">
        <v>qris</v>
      </c>
      <c r="Y8" t="str" xml:space="preserve">
        <v xml:space="preserve">function wrap() {
    return fn.apply(thisArg, arguments);
  }https://api.speccamp.site/uploads/payments/pay-1792429737900-950298941.jpeg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Layanan (spec_camp)</v>
      </c>
      <c r="I9" t="str">
        <v>Parkir Motor</v>
      </c>
      <c r="J9">
        <v>8</v>
      </c>
      <c r="K9">
        <v>5000</v>
      </c>
      <c r="L9">
        <f>J9*K9</f>
      </c>
      <c r="M9">
        <v>0</v>
      </c>
      <c r="N9">
        <f>L9</f>
      </c>
      <c r="O9" t="str">
        <v>Spec Camp</v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Layanan (spec_camp)</v>
      </c>
      <c r="I10" t="str">
        <v>Sewa Kamar</v>
      </c>
      <c r="J10">
        <v>1</v>
      </c>
      <c r="K10">
        <v>350000</v>
      </c>
      <c r="L10">
        <f>J10*K10</f>
      </c>
      <c r="M10">
        <v>0</v>
      </c>
      <c r="N10">
        <f>L10</f>
      </c>
      <c r="O10" t="str">
        <v>Spec Camp</v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Layanan (spec_camp)</v>
      </c>
      <c r="I11" t="str">
        <v>Sewa Dapur</v>
      </c>
      <c r="J11">
        <v>1</v>
      </c>
      <c r="K11">
        <v>350000</v>
      </c>
      <c r="L11">
        <f>J11*K11</f>
      </c>
      <c r="M11">
        <v>0</v>
      </c>
      <c r="N11">
        <f>L11</f>
      </c>
      <c r="O11" t="str">
        <v>Spec Camp</v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Layanan (spec_camp)</v>
      </c>
      <c r="I12" t="str">
        <v>Parkir Mobil</v>
      </c>
      <c r="J12">
        <v>2</v>
      </c>
      <c r="K12">
        <v>10000</v>
      </c>
      <c r="L12">
        <f>J12*K12</f>
      </c>
      <c r="M12">
        <v>0</v>
      </c>
      <c r="N12">
        <f>L12</f>
      </c>
      <c r="O12" t="str">
        <v>Spec Camp</v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Layanan (spec_camp)</v>
      </c>
      <c r="I13" t="str">
        <v>Listrik &amp; Terminal</v>
      </c>
      <c r="J13">
        <v>2</v>
      </c>
      <c r="K13">
        <v>50000</v>
      </c>
      <c r="L13">
        <f>J13*K13</f>
      </c>
      <c r="M13">
        <v>0</v>
      </c>
      <c r="N13">
        <f>L13</f>
      </c>
      <c r="O13" t="str">
        <v>Spec Camp</v>
      </c>
      <c r="P13" t="str">
        <v/>
      </c>
      <c r="Q13" t="str">
        <v/>
      </c>
      <c r="R13" t="str">
        <v/>
      </c>
    </row>
    <row r="14" xml:space="preserve">
      <c r="A14" t="str">
        <v>2026-10-11</v>
      </c>
      <c r="B14" t="str">
        <v>dimas</v>
      </c>
      <c r="C14" t="str">
        <v>Lone Rider Camp</v>
      </c>
      <c r="D14">
        <v>1</v>
      </c>
      <c r="E14">
        <v>0</v>
      </c>
      <c r="F14" t="str">
        <v>completed</v>
      </c>
      <c r="G14">
        <v>180000</v>
      </c>
      <c r="H14" t="str">
        <v>Tiket Masuk</v>
      </c>
      <c r="I14" t="str">
        <v>Lone Rider Camp</v>
      </c>
      <c r="J14">
        <v>1</v>
      </c>
      <c r="K14" t="str">
        <v/>
      </c>
      <c r="L14">
        <v>200000</v>
      </c>
      <c r="M14">
        <v>20000</v>
      </c>
      <c r="N14">
        <v>160000</v>
      </c>
      <c r="O14" t="str">
        <v>Porsi tiket masuk</v>
      </c>
      <c r="P14" t="str">
        <v>10/10/2026</v>
      </c>
      <c r="Q14" t="str">
        <v>Pelunasan</v>
      </c>
      <c r="R14" t="str">
        <v>qris</v>
      </c>
      <c r="S14" t="str" xml:space="preserve">
        <v xml:space="preserve">function wrap() {
    return fn.apply(thisArg, arguments);
  }https://api.speccamp.site/uploads/payments/pay-1791736605184-165669990.jpeg</v>
      </c>
      <c r="T14" t="str">
        <v>-</v>
      </c>
      <c r="U14" t="str">
        <v>-</v>
      </c>
      <c r="V14" t="str">
        <v>-</v>
      </c>
      <c r="W14" t="str">
        <v>10/10/2026</v>
      </c>
      <c r="X14" t="str">
        <v>qris</v>
      </c>
      <c r="Y14" t="str" xml:space="preserve">
        <v xml:space="preserve">function wrap() {
    return fn.apply(thisArg, arguments);
  }https://api.speccamp.site/uploads/payments/pay-1791736605184-165669990.jpeg</v>
      </c>
    </row>
    <row r="15" xml:space="preserve">
      <c r="A15" t="str">
        <v>2026-10-11</v>
      </c>
      <c r="B15" t="str">
        <v>Dimas</v>
      </c>
      <c r="C15" t="str">
        <v>Lone Rider Camp</v>
      </c>
      <c r="D15">
        <v>1</v>
      </c>
      <c r="E15">
        <v>0</v>
      </c>
      <c r="F15" t="str">
        <v>completed</v>
      </c>
      <c r="G15">
        <v>180000</v>
      </c>
      <c r="H15" t="str">
        <v>Tiket Masuk</v>
      </c>
      <c r="I15" t="str">
        <v>Lone Rider Camp</v>
      </c>
      <c r="J15">
        <v>1</v>
      </c>
      <c r="K15" t="str">
        <v/>
      </c>
      <c r="L15">
        <v>200000</v>
      </c>
      <c r="M15">
        <v>20000</v>
      </c>
      <c r="N15">
        <v>160000</v>
      </c>
      <c r="O15" t="str">
        <v>Porsi tiket masuk</v>
      </c>
      <c r="P15" t="str">
        <v>10/10/2026</v>
      </c>
      <c r="Q15" t="str">
        <v>Pelunasan</v>
      </c>
      <c r="R15" t="str">
        <v>qris</v>
      </c>
      <c r="S15" t="str" xml:space="preserve">
        <v xml:space="preserve">function wrap() {
    return fn.apply(thisArg, arguments);
  }https://api.speccamp.site/uploads/payments/pay-1791735661173-749602879.jpeg</v>
      </c>
      <c r="T15" t="str">
        <v>-</v>
      </c>
      <c r="U15" t="str">
        <v>-</v>
      </c>
      <c r="V15" t="str">
        <v>-</v>
      </c>
      <c r="W15" t="str">
        <v>10/10/2026</v>
      </c>
      <c r="X15" t="str">
        <v>qris</v>
      </c>
      <c r="Y15" t="str" xml:space="preserve">
        <v xml:space="preserve">function wrap() {
    return fn.apply(thisArg, arguments);
  }https://api.speccamp.site/uploads/payments/pay-1791735661173-749602879.jpeg</v>
      </c>
    </row>
    <row r="16" xml:space="preserve">
      <c r="A16" t="str">
        <v>2026-10-10</v>
      </c>
      <c r="B16" t="str">
        <v>Ari restu ardian</v>
      </c>
      <c r="C16" t="str">
        <v>Camping (Tiket Masuk)</v>
      </c>
      <c r="D16">
        <v>2</v>
      </c>
      <c r="E16">
        <v>0</v>
      </c>
      <c r="F16" t="str">
        <v>completed</v>
      </c>
      <c r="G16">
        <v>70000</v>
      </c>
      <c r="H16" t="str">
        <v>Tiket Masuk</v>
      </c>
      <c r="I16" t="str">
        <v>Camping (Tiket Masuk)</v>
      </c>
      <c r="J16">
        <v>2</v>
      </c>
      <c r="K16" t="str">
        <v/>
      </c>
      <c r="L16">
        <v>70000</v>
      </c>
      <c r="M16">
        <v>20000</v>
      </c>
      <c r="N16">
        <v>50000</v>
      </c>
      <c r="O16" t="str">
        <v>Porsi tiket masuk</v>
      </c>
      <c r="P16" t="str">
        <v>9/10/2026</v>
      </c>
      <c r="Q16" t="str">
        <v>Pelunasan</v>
      </c>
      <c r="R16" t="str">
        <v>qris</v>
      </c>
      <c r="S16" t="str" xml:space="preserve">
        <v xml:space="preserve">function wrap() {
    return fn.apply(thisArg, arguments);
  }https://api.speccamp.site/uploads/payments/pay-1791542428997-295814827.png</v>
      </c>
      <c r="T16" t="str">
        <v>-</v>
      </c>
      <c r="U16" t="str">
        <v>-</v>
      </c>
      <c r="V16" t="str">
        <v>-</v>
      </c>
      <c r="W16" t="str">
        <v>9/10/2026</v>
      </c>
      <c r="X16" t="str">
        <v>qris</v>
      </c>
      <c r="Y16" t="str" xml:space="preserve">
        <v xml:space="preserve">function wrap() {
    return fn.apply(thisArg, arguments);
  }https://api.speccamp.site/uploads/payments/pay-1791542428997-295814827.png</v>
      </c>
    </row>
    <row r="18">
      <c r="A18" t="str">
        <v>RINGKASAN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Total Omzet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f>SUM($G6:$G16)</f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1">
      <c r="A21" t="str">
        <v>PENDAPATAN MIMOUNT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 xml:space="preserve">  Total Layanan Mimount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f>SUMIF($H6:$H16,"Layanan (mimount)",$M6:$M16)</f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 xml:space="preserve">  Total Sewa Alat Mimount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f>SUMIF($H6:$H16,"Inventory",$M6:$M16)</f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 xml:space="preserve">  Total Porsi Tiket Masuk Mimount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>
        <f>SUMIF($H6:$H16,"Tiket Masuk",$M6:$M16)</f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Total Porsi Mimount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>
        <f>SUM(M22:M24)</f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 xml:space="preserve">  Komisi Referral (dipotong)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SUMIF($H6:$H16,"Komisi Referral",$M6:$M16)</f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Net Porsi Mimount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f>M25+M26</f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9">
      <c r="A29" t="str">
        <v>PENDAPATAN SPEC CAMP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 t="str">
        <v xml:space="preserve">  Total Markup Inventory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f>SUMIF($H6:$H16,"Inventory",$N6:$N16)</f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 xml:space="preserve">  Total Layanan Spec Camp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>
        <f>SUMIF($H6:$H16,"Layanan (spec_camp)",$N6:$N16)</f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 xml:space="preserve">  Total Porsi Tiket Masuk Spec Camp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f>SUMIF($H6:$H16,"Tiket Masuk",$N6:$N16)</f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Porsi Spec Camp (Kotor)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>
        <f>SUM(N30:N32)</f>
      </c>
      <c r="O33" t="str">
        <v/>
      </c>
      <c r="P33" t="str">
        <v/>
      </c>
      <c r="Q33" t="str">
        <v/>
      </c>
      <c r="R33" t="str">
        <v/>
      </c>
    </row>
    <row r="35">
      <c r="A35" t="str">
        <v xml:space="preserve">  Komisi Referral (dipotong)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f>SUMIF($H6:$H16,"Komisi Referral",$N6:$N16)</f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Porsi Spec Camp (Net)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f>N33+N35</f>
      </c>
      <c r="O36" t="str">
        <v/>
      </c>
      <c r="P36" t="str">
        <v/>
      </c>
      <c r="Q36" t="str">
        <v/>
      </c>
      <c r="R36" t="str">
        <v/>
      </c>
    </row>
    <row r="38">
      <c r="A38" t="str">
        <v>Total Layanan Eksternal (Dipotong)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f>SUMIF($H6:$H16,"Layanan (eksternal)",$L6:$L16)</f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</sheetData>
  <ignoredErrors>
    <ignoredError numberStoredAsText="1" sqref="A1:Y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Oktober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